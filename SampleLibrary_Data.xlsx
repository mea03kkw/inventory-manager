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7"/>
  <workbookPr/>
  <xr:revisionPtr revIDLastSave="0" documentId="11_BC32FE2921385E2A4D45746A15ACBAA1E89B8BC8" xr6:coauthVersionLast="47" xr6:coauthVersionMax="47" xr10:uidLastSave="{00000000-0000-0000-0000-000000000000}"/>
  <bookViews>
    <workbookView xWindow="0" yWindow="0" windowWidth="28800" windowHeight="13395" xr2:uid="{00000000-000D-0000-FFFF-FFFF00000000}"/>
  </bookViews>
  <sheets>
    <sheet name="Samples" sheetId="1" r:id="rId1"/>
    <sheet name="Transactions" sheetId="2" r:id="rId2"/>
    <sheet name="Locations" sheetId="3" r:id="rId3"/>
    <sheet name="Users" sheetId="4" r:id="rId4"/>
    <sheet name="Departments" sheetId="5" r:id="rId5"/>
    <sheet name="Lookup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D4" i="3"/>
  <c r="D3" i="3"/>
  <c r="D2" i="3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<sst xmlns="http://schemas.openxmlformats.org/spreadsheetml/2006/main" count="352" uniqueCount="200">
  <si>
    <t>SampleCode</t>
  </si>
  <si>
    <t>SerialNum</t>
  </si>
  <si>
    <t>SampleType</t>
  </si>
  <si>
    <t>ProductName</t>
  </si>
  <si>
    <t>Brand</t>
  </si>
  <si>
    <t>Model</t>
  </si>
  <si>
    <t>Category</t>
  </si>
  <si>
    <t>SubCategory</t>
  </si>
  <si>
    <t>DepartmentOwner</t>
  </si>
  <si>
    <t>Condition</t>
  </si>
  <si>
    <t>DateReceived</t>
  </si>
  <si>
    <t>StorageLocationCode</t>
  </si>
  <si>
    <t>UnitCount</t>
  </si>
  <si>
    <t>UnitMeasure</t>
  </si>
  <si>
    <t>Status</t>
  </si>
  <si>
    <t>PhotoLink</t>
  </si>
  <si>
    <t>Notes</t>
  </si>
  <si>
    <t>__PowerAppsId__</t>
  </si>
  <si>
    <t>PRD-26-023</t>
  </si>
  <si>
    <t>Our Brand</t>
  </si>
  <si>
    <t>Smart Sensor X</t>
  </si>
  <si>
    <t>PHILIPS</t>
  </si>
  <si>
    <t>SSX-100</t>
  </si>
  <si>
    <t>Sensors</t>
  </si>
  <si>
    <t>Temperature</t>
  </si>
  <si>
    <t>R&amp;D</t>
  </si>
  <si>
    <t>New</t>
  </si>
  <si>
    <t>PIC2F-Aa_1</t>
  </si>
  <si>
    <t>pcs</t>
  </si>
  <si>
    <t>Available</t>
  </si>
  <si>
    <t>Edmond Chan.jpg</t>
  </si>
  <si>
    <t>EVT sample</t>
  </si>
  <si>
    <t>0ff3e61a-1c7a-495d-9970-c27dc76d110c</t>
  </si>
  <si>
    <t>CMP-26-001</t>
  </si>
  <si>
    <t>Competitor</t>
  </si>
  <si>
    <t>Comp Thermo T1</t>
  </si>
  <si>
    <t>Competitor A</t>
  </si>
  <si>
    <t>T1</t>
  </si>
  <si>
    <t>Used</t>
  </si>
  <si>
    <t>PIC2F-Bc_4</t>
  </si>
  <si>
    <t>Borrowed</t>
  </si>
  <si>
    <t>For benchmarking</t>
  </si>
  <si>
    <t>005b19d5-4901-4a27-9b33-bf068c2f550a</t>
  </si>
  <si>
    <t>PRD-26-024</t>
  </si>
  <si>
    <t>Industrial Controller C</t>
  </si>
  <si>
    <t>CTRL-200</t>
  </si>
  <si>
    <t>Controllers</t>
  </si>
  <si>
    <t>PLC</t>
  </si>
  <si>
    <t>Good</t>
  </si>
  <si>
    <t>PIC2F-Bb_3</t>
  </si>
  <si>
    <t>MC Kot 2.JPG</t>
  </si>
  <si>
    <t>DVT sample</t>
  </si>
  <si>
    <t>a530f357-6e1f-4f10-8f2d-b50aea9c6c0d</t>
  </si>
  <si>
    <t>CMP-26-013</t>
  </si>
  <si>
    <t>Massager</t>
  </si>
  <si>
    <t>Panasonic</t>
  </si>
  <si>
    <t>EH-HM94</t>
  </si>
  <si>
    <t xml:space="preserve">Other </t>
  </si>
  <si>
    <t>Brush &amp; Massager</t>
  </si>
  <si>
    <t>by Janet</t>
  </si>
  <si>
    <t>01a526a4-7033-4025-b5c7-25cafc78fe65</t>
  </si>
  <si>
    <t>CMP-26-002</t>
  </si>
  <si>
    <t>MONSTER</t>
  </si>
  <si>
    <t>Koizumi</t>
  </si>
  <si>
    <t>KHD-W710K</t>
  </si>
  <si>
    <t>Hairstyler</t>
  </si>
  <si>
    <t>Styler</t>
  </si>
  <si>
    <t>ebe7b08a-0c89-4f39-a53b-6eec8ef0a01d</t>
  </si>
  <si>
    <t>CMP-26-003</t>
  </si>
  <si>
    <t>Folilaser 1.0 vibrating laser comb</t>
  </si>
  <si>
    <t>Folilaser</t>
  </si>
  <si>
    <t>hairloss</t>
  </si>
  <si>
    <t>6714326d-4426-48a0-96c3-2c8adfdb34de</t>
  </si>
  <si>
    <t>CMP-26-004</t>
  </si>
  <si>
    <t>Hair Laser S/N: WH0810290</t>
  </si>
  <si>
    <t>Wellay</t>
  </si>
  <si>
    <t>LLLT for hair loss treatment</t>
  </si>
  <si>
    <t>HK10F-Aa_5</t>
  </si>
  <si>
    <t>fc5213cd-57fa-4593-bcdb-9b5b3a93c40f</t>
  </si>
  <si>
    <t>CMP-26-005</t>
  </si>
  <si>
    <t>diverse combs incl batteries rollers man</t>
  </si>
  <si>
    <t>n/a</t>
  </si>
  <si>
    <t>Other</t>
  </si>
  <si>
    <t>this is testing on edit in Model</t>
  </si>
  <si>
    <t>b510340d-ce5f-48da-b4a9-3452c63b19d3</t>
  </si>
  <si>
    <t>CMP-26-006</t>
  </si>
  <si>
    <t>Steampod</t>
  </si>
  <si>
    <t>Loreal</t>
  </si>
  <si>
    <t>E0626500</t>
  </si>
  <si>
    <t>5faf501a-ed32-40b3-97ad-93a74c7c78cf</t>
  </si>
  <si>
    <t>CMP-26-007</t>
  </si>
  <si>
    <t>curlpod TheO Cloud 9</t>
  </si>
  <si>
    <t>TheO</t>
  </si>
  <si>
    <t>Curlsets</t>
  </si>
  <si>
    <t>53e9e71b-46e0-47ab-9c5b-49fdd55e9187</t>
  </si>
  <si>
    <t>CMP-26-008</t>
  </si>
  <si>
    <t>SUPER COMPACT TOURMALINE ION 3.6</t>
  </si>
  <si>
    <t>GAMA</t>
  </si>
  <si>
    <t>CRA 19A #86-13P2</t>
  </si>
  <si>
    <t>Hair Dryer</t>
  </si>
  <si>
    <t>Dryer</t>
  </si>
  <si>
    <t>51e68a11-b4d4-486c-b54e-28748ef6ab06</t>
  </si>
  <si>
    <t>CMP-26-009</t>
  </si>
  <si>
    <t>Hand Held Steamer vapor wand</t>
  </si>
  <si>
    <t>Q-redew</t>
  </si>
  <si>
    <t>1-001</t>
  </si>
  <si>
    <t>49919f5f-bb6a-4d21-b562-09e5567c2446</t>
  </si>
  <si>
    <t>CMP-26-010</t>
  </si>
  <si>
    <t>Tstudio Protect</t>
  </si>
  <si>
    <t>Remington</t>
  </si>
  <si>
    <t>S8700</t>
  </si>
  <si>
    <t>Hair Straightener</t>
  </si>
  <si>
    <t>Straightener</t>
  </si>
  <si>
    <t>PIC 2F Bb_3</t>
  </si>
  <si>
    <t>no packaging</t>
  </si>
  <si>
    <t>be654f5e-1b51-4199-93c8-5bb061db0996</t>
  </si>
  <si>
    <t>CMP-26-011</t>
  </si>
  <si>
    <t>Airstyle 300</t>
  </si>
  <si>
    <t>Babyliss</t>
  </si>
  <si>
    <t>667E</t>
  </si>
  <si>
    <t>55a8f7c4-c47e-4967-a6b3-5f3aaf35dd41</t>
  </si>
  <si>
    <t>CMP-26-012</t>
  </si>
  <si>
    <t>Pro Satin</t>
  </si>
  <si>
    <t>271CE</t>
  </si>
  <si>
    <t>6bd39906-e38e-4adb-93c2-384bb9c87243</t>
  </si>
  <si>
    <t>TransactionID</t>
  </si>
  <si>
    <t>Action</t>
  </si>
  <si>
    <t>Requester</t>
  </si>
  <si>
    <t>Department</t>
  </si>
  <si>
    <t>Purpose</t>
  </si>
  <si>
    <t>Quantity</t>
  </si>
  <si>
    <t>DateOut</t>
  </si>
  <si>
    <t>DueDate</t>
  </si>
  <si>
    <t>DateIn</t>
  </si>
  <si>
    <t>ApprovedBy</t>
  </si>
  <si>
    <t>Remarks</t>
  </si>
  <si>
    <t>TXN-0001</t>
  </si>
  <si>
    <t>CheckOut</t>
  </si>
  <si>
    <t>Lai, Ming Wah</t>
  </si>
  <si>
    <t>Others</t>
  </si>
  <si>
    <t>Benchmark test</t>
  </si>
  <si>
    <t>2026-03-14</t>
  </si>
  <si>
    <t>Cheung, Jenny</t>
  </si>
  <si>
    <t>TXN-0002</t>
  </si>
  <si>
    <t>Janet Wong</t>
  </si>
  <si>
    <t>PMO</t>
  </si>
  <si>
    <t>LocationCode</t>
  </si>
  <si>
    <t>LocationName</t>
  </si>
  <si>
    <t>Area</t>
  </si>
  <si>
    <t>Shelf</t>
  </si>
  <si>
    <t>Bin</t>
  </si>
  <si>
    <t>Capacity</t>
  </si>
  <si>
    <t>Environment</t>
  </si>
  <si>
    <t>Shelf Aa in PIC 2/F</t>
  </si>
  <si>
    <t>under PMO</t>
  </si>
  <si>
    <t>Room Temp</t>
  </si>
  <si>
    <t>PIC2F-Ab_2</t>
  </si>
  <si>
    <t>Shelf Ab in PIC 2/F</t>
  </si>
  <si>
    <t>Shelf Bb in PIC 2/F</t>
  </si>
  <si>
    <t>under T&amp;V</t>
  </si>
  <si>
    <t>Shelf Bc in PIC 2/F</t>
  </si>
  <si>
    <t>under R&amp;D</t>
  </si>
  <si>
    <t>ME02 box</t>
  </si>
  <si>
    <t>Shelf Aa in HK 1003 room</t>
  </si>
  <si>
    <t>under PRC</t>
  </si>
  <si>
    <t>ME04 box</t>
  </si>
  <si>
    <t>UserID</t>
  </si>
  <si>
    <t>DisplayName</t>
  </si>
  <si>
    <t>Email</t>
  </si>
  <si>
    <t>Role</t>
  </si>
  <si>
    <t>jenny.cheung</t>
  </si>
  <si>
    <t>jenny.cheung@example.com</t>
  </si>
  <si>
    <t>Admin</t>
  </si>
  <si>
    <t>mingwah.lai</t>
  </si>
  <si>
    <t>mingwah.lai@example.com</t>
  </si>
  <si>
    <t>Viewer</t>
  </si>
  <si>
    <t>eva.chan</t>
  </si>
  <si>
    <t>Chan, Eva</t>
  </si>
  <si>
    <t>PRC</t>
  </si>
  <si>
    <t>eva.chan@example.com</t>
  </si>
  <si>
    <t>Staff</t>
  </si>
  <si>
    <t>DeptCode</t>
  </si>
  <si>
    <t>DeptName</t>
  </si>
  <si>
    <t>RD</t>
  </si>
  <si>
    <t>CMM</t>
  </si>
  <si>
    <t>Departments</t>
  </si>
  <si>
    <t>Roles</t>
  </si>
  <si>
    <t>Actions</t>
  </si>
  <si>
    <t>categary</t>
  </si>
  <si>
    <t>Column1</t>
  </si>
  <si>
    <t>Create</t>
  </si>
  <si>
    <t>set</t>
  </si>
  <si>
    <t>Reserved</t>
  </si>
  <si>
    <t>box</t>
  </si>
  <si>
    <t>CheckIn</t>
  </si>
  <si>
    <t>Disposed</t>
  </si>
  <si>
    <t>Damaged</t>
  </si>
  <si>
    <t>Adjust</t>
  </si>
  <si>
    <t>Broken</t>
  </si>
  <si>
    <t>Dispose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</si>
</sst>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6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 vertical="top"/>
    </xf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0" fontId="1" fillId="0" borderId="0" xfId="0" applyFont="1" applyAlignment="1">
      <alignment horizontal="center" vertical="top"/>
    </xf>
    <xf numFmtId="0" fontId="3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4">
    <dxf>
      <numFmt numFmtId="166" formatCode="yyyy\-mm\-dd;@"/>
      <alignment horizontal="center"/>
    </dxf>
    <dxf>
      <numFmt numFmtId="166" formatCode="yyyy\-mm\-dd;@"/>
      <alignment horizontal="center"/>
    </dxf>
    <dxf>
      <numFmt numFmtId="166" formatCode="yyyy\-mm\-dd;@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mples" displayName="tblSamples" ref="A1:R16">
  <autoFilter ref="A1:R16" xr:uid="{00000000-0009-0000-0100-000001000000}"/>
  <tableColumns count="18">
    <tableColumn id="1" xr3:uid="{00000000-0010-0000-0000-000001000000}" name="SampleCode"/>
    <tableColumn id="2" xr3:uid="{00000000-0010-0000-0000-000002000000}" name="SerialNum" dataDxfId="3">
      <calculatedColumnFormula>_xlfn.TEXTBEFORE(A2,"-")&amp;VALUE(_xlfn.TEXTAFTER(A2,"-",2))</calculatedColumnFormula>
    </tableColumn>
    <tableColumn id="3" xr3:uid="{00000000-0010-0000-0000-000003000000}" name="SampleType"/>
    <tableColumn id="4" xr3:uid="{00000000-0010-0000-0000-000004000000}" name="ProductName"/>
    <tableColumn id="5" xr3:uid="{00000000-0010-0000-0000-000005000000}" name="Brand"/>
    <tableColumn id="6" xr3:uid="{00000000-0010-0000-0000-000006000000}" name="Model"/>
    <tableColumn id="7" xr3:uid="{00000000-0010-0000-0000-000007000000}" name="Category"/>
    <tableColumn id="8" xr3:uid="{00000000-0010-0000-0000-000008000000}" name="SubCategory"/>
    <tableColumn id="9" xr3:uid="{00000000-0010-0000-0000-000009000000}" name="DepartmentOwner"/>
    <tableColumn id="10" xr3:uid="{00000000-0010-0000-0000-00000A000000}" name="Condition"/>
    <tableColumn id="11" xr3:uid="{00000000-0010-0000-0000-00000B000000}" name="DateReceived" dataDxfId="2"/>
    <tableColumn id="12" xr3:uid="{00000000-0010-0000-0000-00000C000000}" name="StorageLocationCode"/>
    <tableColumn id="13" xr3:uid="{00000000-0010-0000-0000-00000D000000}" name="UnitCount"/>
    <tableColumn id="14" xr3:uid="{00000000-0010-0000-0000-00000E000000}" name="UnitMeasure"/>
    <tableColumn id="15" xr3:uid="{00000000-0010-0000-0000-00000F000000}" name="Status"/>
    <tableColumn id="16" xr3:uid="{00000000-0010-0000-0000-000010000000}" name="PhotoLink"/>
    <tableColumn id="17" xr3:uid="{00000000-0010-0000-0000-000011000000}" name="Notes"/>
    <tableColumn id="18" xr3:uid="{00000000-0010-0000-0000-000012000000}" name="__PowerAppsId__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actions" displayName="tblTransactions" ref="A1:L3">
  <autoFilter ref="A1:L3" xr:uid="{00000000-0009-0000-0100-000002000000}"/>
  <tableColumns count="12">
    <tableColumn id="1" xr3:uid="{00000000-0010-0000-0100-000001000000}" name="TransactionID"/>
    <tableColumn id="2" xr3:uid="{00000000-0010-0000-0100-000002000000}" name="SampleCode"/>
    <tableColumn id="3" xr3:uid="{00000000-0010-0000-0100-000003000000}" name="Action"/>
    <tableColumn id="4" xr3:uid="{00000000-0010-0000-0100-000004000000}" name="Requester"/>
    <tableColumn id="5" xr3:uid="{00000000-0010-0000-0100-000005000000}" name="Department"/>
    <tableColumn id="6" xr3:uid="{00000000-0010-0000-0100-000006000000}" name="Purpose"/>
    <tableColumn id="7" xr3:uid="{00000000-0010-0000-0100-000007000000}" name="Quantity"/>
    <tableColumn id="8" xr3:uid="{00000000-0010-0000-0100-000008000000}" name="DateOut" dataDxfId="1"/>
    <tableColumn id="9" xr3:uid="{00000000-0010-0000-0100-000009000000}" name="DueDate" dataDxfId="0"/>
    <tableColumn id="10" xr3:uid="{00000000-0010-0000-0100-00000A000000}" name="DateIn"/>
    <tableColumn id="11" xr3:uid="{00000000-0010-0000-0100-00000B000000}" name="ApprovedBy"/>
    <tableColumn id="12" xr3:uid="{00000000-0010-0000-0100-00000C000000}" name="Remark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Locations" displayName="tblLocations" ref="A1:G6">
  <autoFilter ref="A1:G6" xr:uid="{00000000-0009-0000-0100-000003000000}"/>
  <tableColumns count="7">
    <tableColumn id="1" xr3:uid="{00000000-0010-0000-0200-000001000000}" name="LocationCode"/>
    <tableColumn id="2" xr3:uid="{00000000-0010-0000-0200-000002000000}" name="LocationName"/>
    <tableColumn id="3" xr3:uid="{00000000-0010-0000-0200-000003000000}" name="Area"/>
    <tableColumn id="4" xr3:uid="{00000000-0010-0000-0200-000004000000}" name="Shelf"/>
    <tableColumn id="5" xr3:uid="{00000000-0010-0000-0200-000005000000}" name="Bin"/>
    <tableColumn id="6" xr3:uid="{00000000-0010-0000-0200-000006000000}" name="Capacity"/>
    <tableColumn id="7" xr3:uid="{00000000-0010-0000-0200-000007000000}" name="Environ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Users" displayName="tblUsers" ref="A1:E4">
  <autoFilter ref="A1:E4" xr:uid="{00000000-0009-0000-0100-000004000000}"/>
  <tableColumns count="5">
    <tableColumn id="1" xr3:uid="{00000000-0010-0000-0300-000001000000}" name="UserID"/>
    <tableColumn id="2" xr3:uid="{00000000-0010-0000-0300-000002000000}" name="DisplayName"/>
    <tableColumn id="3" xr3:uid="{00000000-0010-0000-0300-000003000000}" name="Department"/>
    <tableColumn id="4" xr3:uid="{00000000-0010-0000-0300-000004000000}" name="Email"/>
    <tableColumn id="5" xr3:uid="{00000000-0010-0000-0300-000005000000}" name="Rol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epartments" displayName="tblDepartments" ref="A1:B5">
  <autoFilter ref="A1:B5" xr:uid="{00000000-0009-0000-0100-000005000000}"/>
  <tableColumns count="2">
    <tableColumn id="1" xr3:uid="{00000000-0010-0000-0400-000001000000}" name="DeptCode"/>
    <tableColumn id="2" xr3:uid="{00000000-0010-0000-0400-000002000000}" name="DeptNa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Lookups" displayName="tblLookups" ref="A1:I6">
  <autoFilter ref="A1:I6" xr:uid="{00000000-0009-0000-0100-000006000000}"/>
  <tableColumns count="9">
    <tableColumn id="1" xr3:uid="{00000000-0010-0000-0500-000001000000}" name="SampleType"/>
    <tableColumn id="2" xr3:uid="{00000000-0010-0000-0500-000002000000}" name="Status"/>
    <tableColumn id="3" xr3:uid="{00000000-0010-0000-0500-000003000000}" name="Condition"/>
    <tableColumn id="4" xr3:uid="{00000000-0010-0000-0500-000004000000}" name="Departments"/>
    <tableColumn id="5" xr3:uid="{00000000-0010-0000-0500-000005000000}" name="UnitMeasure"/>
    <tableColumn id="6" xr3:uid="{00000000-0010-0000-0500-000006000000}" name="Roles"/>
    <tableColumn id="7" xr3:uid="{00000000-0010-0000-0500-000007000000}" name="Actions"/>
    <tableColumn id="8" xr3:uid="{00000000-0010-0000-0500-000008000000}" name="categary"/>
    <tableColumn id="9" xr3:uid="{00000000-0010-0000-0500-000009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.philips.com/:i:/r/sites/STS20130206023002/AME%20Document%20Library/01%20Administrative/05%20Team%20Activities/X%20test/MC%20Kot%202.JPG?csf=1&amp;web=1&amp;e=jtZLyR" TargetMode="External"/><Relationship Id="rId2" Type="http://schemas.openxmlformats.org/officeDocument/2006/relationships/hyperlink" Target="https://share.philips.com/:i:/r/sites/STS20130206023002/AME%20Document%20Library/01%20Administrative/05%20Team%20Activities/X%20test/MC%20Kot%202.JPG?csf=1&amp;web=1&amp;e=jtZLyR" TargetMode="External"/><Relationship Id="rId1" Type="http://schemas.openxmlformats.org/officeDocument/2006/relationships/hyperlink" Target="https://share.philips.com/:i:/r/sites/STS20130206023002/AME%20Document%20Library/01%20Administrative/05%20Team%20Activities/X%20test/Edmond%20Chan.jpg?csf=1&amp;web=1&amp;e=hOfcMo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topLeftCell="I1" workbookViewId="0">
      <pane ySplit="1" topLeftCell="A2" activePane="bottomLeft" state="frozen"/>
      <selection pane="bottomLeft" activeCell="Y14" sqref="Y14"/>
    </sheetView>
  </sheetViews>
  <sheetFormatPr defaultColWidth="9" defaultRowHeight="15"/>
  <cols>
    <col min="1" max="3" width="18" customWidth="1"/>
    <col min="4" max="4" width="31.875" customWidth="1"/>
    <col min="5" max="9" width="18" customWidth="1"/>
    <col min="10" max="10" width="13.125" customWidth="1"/>
    <col min="11" max="11" width="18" style="6" customWidth="1"/>
    <col min="12" max="12" width="18" customWidth="1"/>
    <col min="13" max="13" width="13" customWidth="1"/>
    <col min="14" max="15" width="18" customWidth="1"/>
    <col min="16" max="16" width="19.625" customWidth="1"/>
    <col min="17" max="17" width="1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17</v>
      </c>
    </row>
    <row r="2" spans="1:18">
      <c r="A2" t="s">
        <v>18</v>
      </c>
      <c r="B2" t="str">
        <f t="shared" ref="B2:B16" si="0">_xlfn.TEXTBEFORE(A2,"-")&amp;VALUE(_xlfn.TEXTAFTER(A2,"-",2))</f>
        <v>PRD23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6">
        <v>46020</v>
      </c>
      <c r="L2" s="9" t="s">
        <v>27</v>
      </c>
      <c r="M2">
        <v>2</v>
      </c>
      <c r="N2" t="s">
        <v>28</v>
      </c>
      <c r="O2" t="s">
        <v>29</v>
      </c>
      <c r="P2" s="8" t="s">
        <v>30</v>
      </c>
      <c r="Q2" t="s">
        <v>31</v>
      </c>
      <c r="R2" t="s">
        <v>32</v>
      </c>
    </row>
    <row r="3" spans="1:18">
      <c r="A3" t="s">
        <v>33</v>
      </c>
      <c r="B3" t="str">
        <f t="shared" si="0"/>
        <v>CMP1</v>
      </c>
      <c r="C3" t="s">
        <v>34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 t="s">
        <v>25</v>
      </c>
      <c r="J3" t="s">
        <v>38</v>
      </c>
      <c r="K3" s="6">
        <v>46021</v>
      </c>
      <c r="L3" s="9" t="s">
        <v>39</v>
      </c>
      <c r="M3">
        <v>1</v>
      </c>
      <c r="N3" t="s">
        <v>28</v>
      </c>
      <c r="O3" t="s">
        <v>40</v>
      </c>
      <c r="P3" s="8"/>
      <c r="Q3" t="s">
        <v>41</v>
      </c>
      <c r="R3" t="s">
        <v>42</v>
      </c>
    </row>
    <row r="4" spans="1:18">
      <c r="A4" t="s">
        <v>43</v>
      </c>
      <c r="B4" t="str">
        <f t="shared" si="0"/>
        <v>PRD24</v>
      </c>
      <c r="C4" t="s">
        <v>19</v>
      </c>
      <c r="D4" t="s">
        <v>44</v>
      </c>
      <c r="E4" t="s">
        <v>21</v>
      </c>
      <c r="F4" t="s">
        <v>45</v>
      </c>
      <c r="G4" t="s">
        <v>46</v>
      </c>
      <c r="H4" t="s">
        <v>47</v>
      </c>
      <c r="I4" t="s">
        <v>25</v>
      </c>
      <c r="J4" t="s">
        <v>48</v>
      </c>
      <c r="K4" s="6">
        <v>46022</v>
      </c>
      <c r="L4" s="9" t="s">
        <v>49</v>
      </c>
      <c r="M4">
        <v>3</v>
      </c>
      <c r="N4" t="s">
        <v>28</v>
      </c>
      <c r="O4" t="s">
        <v>29</v>
      </c>
      <c r="P4" s="8" t="s">
        <v>50</v>
      </c>
      <c r="Q4" t="s">
        <v>51</v>
      </c>
      <c r="R4" t="s">
        <v>52</v>
      </c>
    </row>
    <row r="5" spans="1:18">
      <c r="A5" t="s">
        <v>53</v>
      </c>
      <c r="B5" t="str">
        <f t="shared" si="0"/>
        <v>CMP13</v>
      </c>
      <c r="C5" t="s">
        <v>34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25</v>
      </c>
      <c r="J5" t="s">
        <v>38</v>
      </c>
      <c r="K5" s="6">
        <v>44197</v>
      </c>
      <c r="L5" s="9" t="s">
        <v>49</v>
      </c>
      <c r="M5">
        <v>1</v>
      </c>
      <c r="N5" t="s">
        <v>28</v>
      </c>
      <c r="O5" t="s">
        <v>40</v>
      </c>
      <c r="P5" s="8" t="s">
        <v>50</v>
      </c>
      <c r="Q5" s="2" t="s">
        <v>59</v>
      </c>
      <c r="R5" s="2" t="s">
        <v>60</v>
      </c>
    </row>
    <row r="6" spans="1:18">
      <c r="A6" t="s">
        <v>61</v>
      </c>
      <c r="B6" t="str">
        <f t="shared" si="0"/>
        <v>CMP2</v>
      </c>
      <c r="C6" t="s">
        <v>34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25</v>
      </c>
      <c r="J6" t="s">
        <v>38</v>
      </c>
      <c r="K6" s="6">
        <v>44198</v>
      </c>
      <c r="L6" s="9" t="s">
        <v>39</v>
      </c>
      <c r="M6">
        <v>1</v>
      </c>
      <c r="N6" t="s">
        <v>28</v>
      </c>
      <c r="O6" t="s">
        <v>40</v>
      </c>
      <c r="P6" s="8" t="s">
        <v>50</v>
      </c>
      <c r="Q6" s="2" t="s">
        <v>59</v>
      </c>
      <c r="R6" s="2" t="s">
        <v>67</v>
      </c>
    </row>
    <row r="7" spans="1:18">
      <c r="A7" t="s">
        <v>68</v>
      </c>
      <c r="B7" t="str">
        <f t="shared" si="0"/>
        <v>CMP3</v>
      </c>
      <c r="C7" t="s">
        <v>34</v>
      </c>
      <c r="D7" t="s">
        <v>69</v>
      </c>
      <c r="E7" t="s">
        <v>70</v>
      </c>
      <c r="G7" t="s">
        <v>65</v>
      </c>
      <c r="H7" t="s">
        <v>71</v>
      </c>
      <c r="I7" t="s">
        <v>25</v>
      </c>
      <c r="J7" t="s">
        <v>38</v>
      </c>
      <c r="K7" s="6">
        <v>44199</v>
      </c>
      <c r="L7" s="9" t="s">
        <v>49</v>
      </c>
      <c r="M7">
        <v>1</v>
      </c>
      <c r="N7" t="s">
        <v>28</v>
      </c>
      <c r="O7" t="s">
        <v>29</v>
      </c>
      <c r="P7" s="8" t="s">
        <v>50</v>
      </c>
      <c r="R7" t="s">
        <v>72</v>
      </c>
    </row>
    <row r="8" spans="1:18">
      <c r="A8" t="s">
        <v>73</v>
      </c>
      <c r="B8" t="str">
        <f t="shared" si="0"/>
        <v>CMP4</v>
      </c>
      <c r="C8" t="s">
        <v>34</v>
      </c>
      <c r="D8" t="s">
        <v>74</v>
      </c>
      <c r="E8" t="s">
        <v>75</v>
      </c>
      <c r="F8" t="s">
        <v>76</v>
      </c>
      <c r="G8" t="s">
        <v>65</v>
      </c>
      <c r="H8" t="s">
        <v>71</v>
      </c>
      <c r="I8" t="s">
        <v>25</v>
      </c>
      <c r="J8" t="s">
        <v>26</v>
      </c>
      <c r="K8" s="6">
        <v>44200</v>
      </c>
      <c r="L8" s="9" t="s">
        <v>77</v>
      </c>
      <c r="M8">
        <v>1</v>
      </c>
      <c r="N8" t="s">
        <v>28</v>
      </c>
      <c r="O8" t="s">
        <v>29</v>
      </c>
      <c r="P8" s="8" t="s">
        <v>50</v>
      </c>
      <c r="R8" t="s">
        <v>78</v>
      </c>
    </row>
    <row r="9" spans="1:18">
      <c r="A9" t="s">
        <v>79</v>
      </c>
      <c r="B9" t="str">
        <f t="shared" si="0"/>
        <v>CMP5</v>
      </c>
      <c r="C9" t="s">
        <v>34</v>
      </c>
      <c r="D9" t="s">
        <v>80</v>
      </c>
      <c r="E9" t="s">
        <v>70</v>
      </c>
      <c r="F9" t="s">
        <v>81</v>
      </c>
      <c r="G9" t="s">
        <v>65</v>
      </c>
      <c r="H9" t="s">
        <v>82</v>
      </c>
      <c r="I9" t="s">
        <v>25</v>
      </c>
      <c r="J9" t="s">
        <v>38</v>
      </c>
      <c r="K9" s="6">
        <v>44201</v>
      </c>
      <c r="L9" s="9" t="s">
        <v>27</v>
      </c>
      <c r="M9">
        <v>1</v>
      </c>
      <c r="N9" t="s">
        <v>28</v>
      </c>
      <c r="O9" t="s">
        <v>29</v>
      </c>
      <c r="P9" s="8" t="s">
        <v>50</v>
      </c>
      <c r="Q9" t="s">
        <v>83</v>
      </c>
      <c r="R9" t="s">
        <v>84</v>
      </c>
    </row>
    <row r="10" spans="1:18">
      <c r="A10" t="s">
        <v>85</v>
      </c>
      <c r="B10" t="str">
        <f t="shared" si="0"/>
        <v>CMP6</v>
      </c>
      <c r="C10" t="s">
        <v>34</v>
      </c>
      <c r="D10" t="s">
        <v>86</v>
      </c>
      <c r="E10" t="s">
        <v>87</v>
      </c>
      <c r="F10" t="s">
        <v>88</v>
      </c>
      <c r="G10" t="s">
        <v>57</v>
      </c>
      <c r="H10" t="s">
        <v>57</v>
      </c>
      <c r="I10" t="s">
        <v>25</v>
      </c>
      <c r="J10" t="s">
        <v>38</v>
      </c>
      <c r="K10" s="6">
        <v>44202</v>
      </c>
      <c r="L10" s="9" t="s">
        <v>27</v>
      </c>
      <c r="M10">
        <v>1</v>
      </c>
      <c r="N10" t="s">
        <v>28</v>
      </c>
      <c r="O10" t="s">
        <v>29</v>
      </c>
      <c r="P10" s="8" t="s">
        <v>50</v>
      </c>
      <c r="R10" t="s">
        <v>89</v>
      </c>
    </row>
    <row r="11" spans="1:18">
      <c r="A11" t="s">
        <v>90</v>
      </c>
      <c r="B11" t="str">
        <f t="shared" si="0"/>
        <v>CMP7</v>
      </c>
      <c r="C11" t="s">
        <v>34</v>
      </c>
      <c r="D11" t="s">
        <v>91</v>
      </c>
      <c r="E11" t="s">
        <v>92</v>
      </c>
      <c r="G11" t="s">
        <v>65</v>
      </c>
      <c r="H11" t="s">
        <v>93</v>
      </c>
      <c r="I11" t="s">
        <v>25</v>
      </c>
      <c r="J11" t="s">
        <v>38</v>
      </c>
      <c r="K11" s="6">
        <v>44203</v>
      </c>
      <c r="L11" s="9" t="s">
        <v>77</v>
      </c>
      <c r="M11">
        <v>1</v>
      </c>
      <c r="N11" t="s">
        <v>28</v>
      </c>
      <c r="O11" t="s">
        <v>29</v>
      </c>
      <c r="P11" s="8" t="s">
        <v>50</v>
      </c>
      <c r="R11" t="s">
        <v>94</v>
      </c>
    </row>
    <row r="12" spans="1:18">
      <c r="A12" t="s">
        <v>95</v>
      </c>
      <c r="B12" t="str">
        <f t="shared" si="0"/>
        <v>CMP8</v>
      </c>
      <c r="C12" t="s">
        <v>34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25</v>
      </c>
      <c r="J12" t="s">
        <v>38</v>
      </c>
      <c r="K12" s="6">
        <v>44204</v>
      </c>
      <c r="L12" s="9" t="s">
        <v>49</v>
      </c>
      <c r="M12">
        <v>1</v>
      </c>
      <c r="N12" t="s">
        <v>28</v>
      </c>
      <c r="O12" t="s">
        <v>29</v>
      </c>
      <c r="P12" s="8" t="s">
        <v>50</v>
      </c>
      <c r="R12" t="s">
        <v>101</v>
      </c>
    </row>
    <row r="13" spans="1:18">
      <c r="A13" t="s">
        <v>102</v>
      </c>
      <c r="B13" t="str">
        <f t="shared" si="0"/>
        <v>CMP9</v>
      </c>
      <c r="C13" t="s">
        <v>34</v>
      </c>
      <c r="D13" t="s">
        <v>103</v>
      </c>
      <c r="E13" t="s">
        <v>104</v>
      </c>
      <c r="F13" t="s">
        <v>105</v>
      </c>
      <c r="G13" t="s">
        <v>57</v>
      </c>
      <c r="H13" t="s">
        <v>57</v>
      </c>
      <c r="I13" t="s">
        <v>25</v>
      </c>
      <c r="J13" t="s">
        <v>38</v>
      </c>
      <c r="K13" s="6">
        <v>44205</v>
      </c>
      <c r="L13" s="9" t="s">
        <v>49</v>
      </c>
      <c r="M13">
        <v>1</v>
      </c>
      <c r="N13" t="s">
        <v>28</v>
      </c>
      <c r="O13" t="s">
        <v>29</v>
      </c>
      <c r="P13" s="8" t="s">
        <v>50</v>
      </c>
      <c r="R13" t="s">
        <v>106</v>
      </c>
    </row>
    <row r="14" spans="1:18">
      <c r="A14" t="s">
        <v>107</v>
      </c>
      <c r="B14" t="str">
        <f t="shared" si="0"/>
        <v>CMP10</v>
      </c>
      <c r="C14" t="s">
        <v>34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25</v>
      </c>
      <c r="J14" t="s">
        <v>38</v>
      </c>
      <c r="K14" s="6">
        <v>44206</v>
      </c>
      <c r="L14" s="9" t="s">
        <v>113</v>
      </c>
      <c r="M14">
        <v>1</v>
      </c>
      <c r="N14" t="s">
        <v>28</v>
      </c>
      <c r="O14" t="s">
        <v>29</v>
      </c>
      <c r="P14" s="8" t="s">
        <v>50</v>
      </c>
      <c r="Q14" s="2" t="s">
        <v>114</v>
      </c>
      <c r="R14" s="2" t="s">
        <v>115</v>
      </c>
    </row>
    <row r="15" spans="1:18">
      <c r="A15" t="s">
        <v>116</v>
      </c>
      <c r="B15" t="str">
        <f t="shared" si="0"/>
        <v>CMP11</v>
      </c>
      <c r="C15" t="s">
        <v>34</v>
      </c>
      <c r="D15" t="s">
        <v>117</v>
      </c>
      <c r="E15" t="s">
        <v>118</v>
      </c>
      <c r="F15" t="s">
        <v>119</v>
      </c>
      <c r="G15" t="s">
        <v>65</v>
      </c>
      <c r="H15" t="s">
        <v>66</v>
      </c>
      <c r="I15" t="s">
        <v>25</v>
      </c>
      <c r="J15" t="s">
        <v>38</v>
      </c>
      <c r="K15" s="6">
        <v>44207</v>
      </c>
      <c r="L15" s="9" t="s">
        <v>27</v>
      </c>
      <c r="M15">
        <v>1</v>
      </c>
      <c r="N15" t="s">
        <v>28</v>
      </c>
      <c r="O15" t="s">
        <v>29</v>
      </c>
      <c r="P15" s="8" t="s">
        <v>50</v>
      </c>
      <c r="R15" t="s">
        <v>120</v>
      </c>
    </row>
    <row r="16" spans="1:18">
      <c r="A16" t="s">
        <v>121</v>
      </c>
      <c r="B16" t="str">
        <f t="shared" si="0"/>
        <v>CMP12</v>
      </c>
      <c r="C16" t="s">
        <v>34</v>
      </c>
      <c r="D16" t="s">
        <v>122</v>
      </c>
      <c r="E16" t="s">
        <v>118</v>
      </c>
      <c r="F16" t="s">
        <v>123</v>
      </c>
      <c r="G16" t="s">
        <v>65</v>
      </c>
      <c r="H16" t="s">
        <v>66</v>
      </c>
      <c r="I16" t="s">
        <v>25</v>
      </c>
      <c r="J16" t="s">
        <v>38</v>
      </c>
      <c r="K16" s="6">
        <v>44208</v>
      </c>
      <c r="L16" s="9" t="s">
        <v>39</v>
      </c>
      <c r="M16">
        <v>1</v>
      </c>
      <c r="N16" t="s">
        <v>28</v>
      </c>
      <c r="O16" t="s">
        <v>29</v>
      </c>
      <c r="P16" s="8" t="s">
        <v>50</v>
      </c>
      <c r="R16" t="s">
        <v>124</v>
      </c>
    </row>
  </sheetData>
  <hyperlinks>
    <hyperlink ref="P2" r:id="rId1" xr:uid="{00000000-0004-0000-0000-000000000000}"/>
    <hyperlink ref="P4" r:id="rId2" xr:uid="{00000000-0004-0000-0000-000001000000}"/>
    <hyperlink ref="P5:P16" r:id="rId3" display="MC Kot 2.JPG" xr:uid="{00000000-0004-0000-0000-000002000000}"/>
  </hyperlinks>
  <pageMargins left="0.75" right="0.75" top="1" bottom="1" header="0.5" footer="0.5"/>
  <pageSetup paperSize="9" orientation="portrait" horizontalDpi="300" verticalDpi="300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Lookups!$A$2:$A$94</xm:f>
          </x14:formula1>
          <xm:sqref>C2:C1011</xm:sqref>
        </x14:dataValidation>
        <x14:dataValidation type="list" allowBlank="1" xr:uid="{00000000-0002-0000-0000-000001000000}">
          <x14:formula1>
            <xm:f>Lookups!$D$2:$D$94</xm:f>
          </x14:formula1>
          <xm:sqref>I2:I1011</xm:sqref>
        </x14:dataValidation>
        <x14:dataValidation type="list" allowBlank="1" xr:uid="{00000000-0002-0000-0000-000002000000}">
          <x14:formula1>
            <xm:f>Lookups!$C$2:$C$94</xm:f>
          </x14:formula1>
          <xm:sqref>J2:J1011</xm:sqref>
        </x14:dataValidation>
        <x14:dataValidation type="list" allowBlank="1" showInputMessage="1" showErrorMessage="1" xr:uid="{00000000-0002-0000-0000-000003000000}">
          <x14:formula1>
            <xm:f>Locations!$A$2:$A$6</xm:f>
          </x14:formula1>
          <xm:sqref>L1:L1048576</xm:sqref>
        </x14:dataValidation>
        <x14:dataValidation type="list" allowBlank="1" xr:uid="{00000000-0002-0000-0000-000004000000}">
          <x14:formula1>
            <xm:f>Lookups!$E$2:$E$94</xm:f>
          </x14:formula1>
          <xm:sqref>N2:N1011</xm:sqref>
        </x14:dataValidation>
        <x14:dataValidation type="list" allowBlank="1" xr:uid="{00000000-0002-0000-0000-000005000000}">
          <x14:formula1>
            <xm:f>Lookups!$B$2:$B$94</xm:f>
          </x14:formula1>
          <xm:sqref>O2:O1011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pane ySplit="1" topLeftCell="A2" activePane="bottomLeft" state="frozen"/>
      <selection pane="bottomLeft" activeCell="D18" sqref="C17:D18"/>
    </sheetView>
  </sheetViews>
  <sheetFormatPr defaultColWidth="9" defaultRowHeight="15"/>
  <cols>
    <col min="1" max="7" width="18" customWidth="1"/>
    <col min="8" max="9" width="18" style="3" customWidth="1"/>
    <col min="10" max="12" width="18" customWidth="1"/>
  </cols>
  <sheetData>
    <row r="1" spans="1:12">
      <c r="A1" s="1" t="s">
        <v>125</v>
      </c>
      <c r="B1" s="1" t="s">
        <v>0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4" t="s">
        <v>131</v>
      </c>
      <c r="I1" s="4" t="s">
        <v>132</v>
      </c>
      <c r="J1" s="1" t="s">
        <v>133</v>
      </c>
      <c r="K1" s="1" t="s">
        <v>134</v>
      </c>
      <c r="L1" s="1" t="s">
        <v>135</v>
      </c>
    </row>
    <row r="2" spans="1:12">
      <c r="A2" t="s">
        <v>136</v>
      </c>
      <c r="B2" t="s">
        <v>33</v>
      </c>
      <c r="C2" t="s">
        <v>137</v>
      </c>
      <c r="D2" t="s">
        <v>138</v>
      </c>
      <c r="E2" t="s">
        <v>139</v>
      </c>
      <c r="F2" t="s">
        <v>140</v>
      </c>
      <c r="G2">
        <v>1</v>
      </c>
      <c r="H2" s="3">
        <v>46088</v>
      </c>
      <c r="I2" s="3" t="s">
        <v>141</v>
      </c>
      <c r="K2" t="s">
        <v>142</v>
      </c>
    </row>
    <row r="3" spans="1:12">
      <c r="A3" t="s">
        <v>143</v>
      </c>
      <c r="B3" t="s">
        <v>53</v>
      </c>
      <c r="C3" t="s">
        <v>137</v>
      </c>
      <c r="D3" s="2" t="s">
        <v>144</v>
      </c>
      <c r="E3" t="s">
        <v>145</v>
      </c>
      <c r="F3" s="2" t="s">
        <v>140</v>
      </c>
      <c r="G3">
        <v>1</v>
      </c>
      <c r="H3" s="5">
        <v>45658</v>
      </c>
      <c r="K3" s="2" t="s">
        <v>142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Lookups!$G$2:$G$94</xm:f>
          </x14:formula1>
          <xm:sqref>C2:C1000</xm:sqref>
        </x14:dataValidation>
        <x14:dataValidation type="list" allowBlank="1" xr:uid="{00000000-0002-0000-0100-000001000000}">
          <x14:formula1>
            <xm:f>Lookups!$D$2:$D$94</xm:f>
          </x14:formula1>
          <xm:sqref>E2:E1000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 activeCell="B12" sqref="B12"/>
    </sheetView>
  </sheetViews>
  <sheetFormatPr defaultColWidth="9" defaultRowHeight="15"/>
  <cols>
    <col min="1" max="1" width="18" customWidth="1"/>
    <col min="2" max="2" width="22.625" customWidth="1"/>
    <col min="3" max="7" width="18" customWidth="1"/>
  </cols>
  <sheetData>
    <row r="1" spans="1:7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</row>
    <row r="2" spans="1:7">
      <c r="A2" t="s">
        <v>27</v>
      </c>
      <c r="B2" t="s">
        <v>153</v>
      </c>
      <c r="C2" s="2" t="s">
        <v>154</v>
      </c>
      <c r="D2" t="str">
        <f>_xlfn.TEXTAFTER(tblLocations[[#This Row],[LocationCode]],"-",1)</f>
        <v>Aa_1</v>
      </c>
      <c r="F2">
        <v>10</v>
      </c>
      <c r="G2" t="s">
        <v>155</v>
      </c>
    </row>
    <row r="3" spans="1:7">
      <c r="A3" t="s">
        <v>156</v>
      </c>
      <c r="B3" t="s">
        <v>157</v>
      </c>
      <c r="C3" t="s">
        <v>154</v>
      </c>
      <c r="D3" t="str">
        <f>_xlfn.TEXTAFTER(tblLocations[[#This Row],[LocationCode]],"-",,,1)</f>
        <v>Ab_2</v>
      </c>
      <c r="F3">
        <v>5</v>
      </c>
      <c r="G3" t="s">
        <v>155</v>
      </c>
    </row>
    <row r="4" spans="1:7">
      <c r="A4" t="s">
        <v>49</v>
      </c>
      <c r="B4" t="s">
        <v>158</v>
      </c>
      <c r="C4" s="2" t="s">
        <v>159</v>
      </c>
      <c r="D4" t="str">
        <f>_xlfn.TEXTAFTER(tblLocations[[#This Row],[LocationCode]],"-",,,1)</f>
        <v>Bb_3</v>
      </c>
      <c r="F4">
        <v>8</v>
      </c>
      <c r="G4" t="s">
        <v>155</v>
      </c>
    </row>
    <row r="5" spans="1:7">
      <c r="A5" t="s">
        <v>39</v>
      </c>
      <c r="B5" t="s">
        <v>160</v>
      </c>
      <c r="C5" s="2" t="s">
        <v>161</v>
      </c>
      <c r="D5" t="str">
        <f>_xlfn.TEXTAFTER(tblLocations[[#This Row],[LocationCode]],"-",,,1)</f>
        <v>Bc_4</v>
      </c>
      <c r="G5" s="2" t="s">
        <v>162</v>
      </c>
    </row>
    <row r="6" spans="1:7">
      <c r="A6" t="s">
        <v>77</v>
      </c>
      <c r="B6" t="s">
        <v>163</v>
      </c>
      <c r="C6" s="2" t="s">
        <v>164</v>
      </c>
      <c r="D6" t="str">
        <f>_xlfn.TEXTAFTER(tblLocations[[#This Row],[LocationCode]],"-",,,1)</f>
        <v>Aa_5</v>
      </c>
      <c r="G6" s="2" t="s">
        <v>165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 activeCell="E2" sqref="E2"/>
    </sheetView>
  </sheetViews>
  <sheetFormatPr defaultColWidth="9" defaultRowHeight="15"/>
  <cols>
    <col min="1" max="5" width="18" customWidth="1"/>
  </cols>
  <sheetData>
    <row r="1" spans="1:5">
      <c r="A1" s="1" t="s">
        <v>166</v>
      </c>
      <c r="B1" s="1" t="s">
        <v>167</v>
      </c>
      <c r="C1" s="1" t="s">
        <v>128</v>
      </c>
      <c r="D1" s="1" t="s">
        <v>168</v>
      </c>
      <c r="E1" s="1" t="s">
        <v>169</v>
      </c>
    </row>
    <row r="2" spans="1:5">
      <c r="A2" t="s">
        <v>170</v>
      </c>
      <c r="B2" t="s">
        <v>142</v>
      </c>
      <c r="C2" t="s">
        <v>25</v>
      </c>
      <c r="D2" t="s">
        <v>171</v>
      </c>
      <c r="E2" t="s">
        <v>172</v>
      </c>
    </row>
    <row r="3" spans="1:5">
      <c r="A3" t="s">
        <v>173</v>
      </c>
      <c r="B3" t="s">
        <v>138</v>
      </c>
      <c r="C3" t="s">
        <v>25</v>
      </c>
      <c r="D3" t="s">
        <v>174</v>
      </c>
      <c r="E3" t="s">
        <v>175</v>
      </c>
    </row>
    <row r="4" spans="1:5">
      <c r="A4" t="s">
        <v>176</v>
      </c>
      <c r="B4" t="s">
        <v>177</v>
      </c>
      <c r="C4" t="s">
        <v>178</v>
      </c>
      <c r="D4" t="s">
        <v>179</v>
      </c>
      <c r="E4" t="s">
        <v>180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Lookups!$D$2:$D$94</xm:f>
          </x14:formula1>
          <xm:sqref>C2:C1000</xm:sqref>
        </x14:dataValidation>
        <x14:dataValidation type="list" allowBlank="1" xr:uid="{00000000-0002-0000-0300-000001000000}">
          <x14:formula1>
            <xm:f>Lookups!$F$2:$F$94</xm:f>
          </x14:formula1>
          <xm:sqref>E2:E1000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ColWidth="9" defaultRowHeight="15"/>
  <cols>
    <col min="1" max="2" width="18" customWidth="1"/>
  </cols>
  <sheetData>
    <row r="1" spans="1:2">
      <c r="A1" s="1" t="s">
        <v>181</v>
      </c>
      <c r="B1" s="1" t="s">
        <v>182</v>
      </c>
    </row>
    <row r="2" spans="1:2">
      <c r="A2" t="s">
        <v>183</v>
      </c>
      <c r="B2" t="s">
        <v>25</v>
      </c>
    </row>
    <row r="3" spans="1:2">
      <c r="A3" t="s">
        <v>178</v>
      </c>
      <c r="B3" t="s">
        <v>178</v>
      </c>
    </row>
    <row r="4" spans="1:2">
      <c r="A4" t="s">
        <v>184</v>
      </c>
      <c r="B4" t="s">
        <v>184</v>
      </c>
    </row>
    <row r="5" spans="1:2">
      <c r="A5" t="s">
        <v>145</v>
      </c>
      <c r="B5" t="s">
        <v>145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pane ySplit="1" topLeftCell="A2" activePane="bottomLeft" state="frozen"/>
      <selection pane="bottomLeft" activeCell="D22" sqref="D22:D23"/>
    </sheetView>
  </sheetViews>
  <sheetFormatPr defaultColWidth="9" defaultRowHeight="15"/>
  <cols>
    <col min="1" max="7" width="18" customWidth="1"/>
    <col min="8" max="8" width="13.125" customWidth="1"/>
    <col min="9" max="9" width="13.625" customWidth="1"/>
  </cols>
  <sheetData>
    <row r="1" spans="1:9">
      <c r="A1" s="1" t="s">
        <v>2</v>
      </c>
      <c r="B1" s="1" t="s">
        <v>14</v>
      </c>
      <c r="C1" s="1" t="s">
        <v>9</v>
      </c>
      <c r="D1" s="1" t="s">
        <v>185</v>
      </c>
      <c r="E1" s="1" t="s">
        <v>13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>
      <c r="A2" s="2" t="s">
        <v>19</v>
      </c>
      <c r="B2" t="s">
        <v>29</v>
      </c>
      <c r="C2" t="s">
        <v>26</v>
      </c>
      <c r="D2" t="s">
        <v>25</v>
      </c>
      <c r="E2" t="s">
        <v>28</v>
      </c>
      <c r="F2" t="s">
        <v>172</v>
      </c>
      <c r="G2" t="s">
        <v>190</v>
      </c>
    </row>
    <row r="3" spans="1:9">
      <c r="A3" t="s">
        <v>34</v>
      </c>
      <c r="B3" t="s">
        <v>40</v>
      </c>
      <c r="C3" t="s">
        <v>48</v>
      </c>
      <c r="D3" t="s">
        <v>178</v>
      </c>
      <c r="E3" t="s">
        <v>191</v>
      </c>
      <c r="F3" t="s">
        <v>180</v>
      </c>
      <c r="G3" t="s">
        <v>137</v>
      </c>
    </row>
    <row r="4" spans="1:9">
      <c r="B4" t="s">
        <v>192</v>
      </c>
      <c r="C4" t="s">
        <v>38</v>
      </c>
      <c r="D4" t="s">
        <v>184</v>
      </c>
      <c r="E4" t="s">
        <v>193</v>
      </c>
      <c r="F4" t="s">
        <v>175</v>
      </c>
      <c r="G4" t="s">
        <v>194</v>
      </c>
    </row>
    <row r="5" spans="1:9">
      <c r="B5" t="s">
        <v>195</v>
      </c>
      <c r="C5" t="s">
        <v>196</v>
      </c>
      <c r="D5" t="s">
        <v>145</v>
      </c>
      <c r="G5" t="s">
        <v>197</v>
      </c>
    </row>
    <row r="6" spans="1:9">
      <c r="C6" t="s">
        <v>198</v>
      </c>
      <c r="D6" s="2" t="s">
        <v>139</v>
      </c>
      <c r="G6" t="s">
        <v>199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AA55439CF02B47BB6F51D39E71FA5B" ma:contentTypeVersion="20" ma:contentTypeDescription="Create a new document." ma:contentTypeScope="" ma:versionID="45a3b2d099ea7ef01098f6d51d4f7a6b">
  <xsd:schema xmlns:xsd="http://www.w3.org/2001/XMLSchema" xmlns:xs="http://www.w3.org/2001/XMLSchema" xmlns:p="http://schemas.microsoft.com/office/2006/metadata/properties" xmlns:ns2="0dd0b532-0cb1-454d-b2d2-816a00510d65" xmlns:ns3="6db4f5e8-d8c7-4bd7-ba68-d9b77397eedb" xmlns:ns4="49919dca-d9c1-492f-bd36-8a887e31a6e3" targetNamespace="http://schemas.microsoft.com/office/2006/metadata/properties" ma:root="true" ma:fieldsID="da5080be0cd4a278fcc20232224f70e2" ns2:_="" ns3:_="" ns4:_="">
    <xsd:import namespace="0dd0b532-0cb1-454d-b2d2-816a00510d65"/>
    <xsd:import namespace="6db4f5e8-d8c7-4bd7-ba68-d9b77397eedb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_dlc_DocId" minOccurs="0"/>
                <xsd:element ref="ns4:_dlc_DocIdUrl" minOccurs="0"/>
                <xsd:element ref="ns4:_dlc_DocIdPersistId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0b532-0cb1-454d-b2d2-816a00510d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4f5e8-d8c7-4bd7-ba68-d9b77397eed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7" nillable="true" ma:displayName="Taxonomy Catch All Column" ma:hidden="true" ma:list="{0a43450c-9550-42e3-b361-91f4a5b07b9d}" ma:internalName="TaxCatchAll" ma:showField="CatchAllData" ma:web="6db4f5e8-d8c7-4bd7-ba68-d9b77397ee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dd0b532-0cb1-454d-b2d2-816a00510d65" xsi:nil="true"/>
    <lcf76f155ced4ddcb4097134ff3c332f xmlns="0dd0b532-0cb1-454d-b2d2-816a00510d65">
      <Terms xmlns="http://schemas.microsoft.com/office/infopath/2007/PartnerControls"/>
    </lcf76f155ced4ddcb4097134ff3c332f>
    <TaxCatchAll xmlns="49919dca-d9c1-492f-bd36-8a887e31a6e3" xsi:nil="true"/>
    <_dlc_DocId xmlns="49919dca-d9c1-492f-bd36-8a887e31a6e3">5CXKEU3EJ6KH-888146973-47421</_dlc_DocId>
    <_dlc_DocIdUrl xmlns="49919dca-d9c1-492f-bd36-8a887e31a6e3">
      <Url>https://share.philips.com/sites/STS20130206023002/_layouts/15/DocIdRedir.aspx?ID=5CXKEU3EJ6KH-888146973-47421</Url>
      <Description>5CXKEU3EJ6KH-888146973-47421</Description>
    </_dlc_DocIdUrl>
  </documentManagement>
</p:properties>
</file>

<file path=customXml/itemProps1.xml><?xml version="1.0" encoding="utf-8"?>
<ds:datastoreItem xmlns:ds="http://schemas.openxmlformats.org/officeDocument/2006/customXml" ds:itemID="{1D22BBAA-4C4D-44A9-ACE8-9BC3B5C0A9A0}"/>
</file>

<file path=customXml/itemProps2.xml><?xml version="1.0" encoding="utf-8"?>
<ds:datastoreItem xmlns:ds="http://schemas.openxmlformats.org/officeDocument/2006/customXml" ds:itemID="{9F67BE6E-C10E-4D42-AF23-844C1E5F1907}"/>
</file>

<file path=customXml/itemProps3.xml><?xml version="1.0" encoding="utf-8"?>
<ds:datastoreItem xmlns:ds="http://schemas.openxmlformats.org/officeDocument/2006/customXml" ds:itemID="{30E88D96-8917-4580-ACF1-3A7E6C231452}"/>
</file>

<file path=customXml/itemProps4.xml><?xml version="1.0" encoding="utf-8"?>
<ds:datastoreItem xmlns:ds="http://schemas.openxmlformats.org/officeDocument/2006/customXml" ds:itemID="{711DDFCA-2AA9-4AB2-9067-991020CA4101}"/>
</file>

<file path=customXml/itemProps5.xml><?xml version="1.0" encoding="utf-8"?>
<ds:datastoreItem xmlns:ds="http://schemas.openxmlformats.org/officeDocument/2006/customXml" ds:itemID="{4FE3AC24-7867-41D2-AF80-C3A97B0FF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Wong, Kaye</cp:lastModifiedBy>
  <cp:revision/>
  <dcterms:created xsi:type="dcterms:W3CDTF">2026-03-09T08:57:00Z</dcterms:created>
  <dcterms:modified xsi:type="dcterms:W3CDTF">2026-05-04T03:59:30Z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A0D38EBFE19141EFBDCD1E06B97ECDF8_13</vt:lpwstr>
  </property>
  <property fmtid="{D5CDD505-2E9C-101B-9397-08002B2CF9AE}" pid="3" name="KSOProductBuildVer">
    <vt:lpwstr>1033-12.1.0.25242</vt:lpwstr>
  </property>
  <property fmtid="{D5CDD505-2E9C-101B-9397-08002B2CF9AE}" pid="4" name="ContentTypeId">
    <vt:lpwstr>0x0101008FAA55439CF02B47BB6F51D39E71FA5B</vt:lpwstr>
  </property>
  <property fmtid="{D5CDD505-2E9C-101B-9397-08002B2CF9AE}" pid="5" name="_dlc_DocIdItemGuid">
    <vt:lpwstr>09c1fd77-59e4-4ad3-819f-9feae5f52c87</vt:lpwstr>
  </property>
  <property fmtid="{D5CDD505-2E9C-101B-9397-08002B2CF9AE}" pid="6" name="MediaServiceImageTags">
    <vt:lpwstr/>
  </property>
  <property fmtid="{D5CDD505-2E9C-101B-9397-08002B2CF9AE}" pid="7" name="CalculationRule">
    <vt:i4>0</vt:i4>
  </property>
</Properties>
</file>